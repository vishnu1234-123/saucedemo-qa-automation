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Accessibility checks" sheetId="3" state="visible" r:id="rId3"/>
    <sheet xmlns:r="http://schemas.openxmlformats.org/officeDocument/2006/relationships" name="Page coverage" sheetId="4" state="visible" r:id="rId4"/>
    <sheet xmlns:r="http://schemas.openxmlformats.org/officeDocument/2006/relationships" name="Defects" sheetId="5" state="visible" r:id="rId5"/>
  </sheets>
  <definedNames>
    <definedName name="_xlnm._FilterDatabase" localSheetId="1" hidden="1">'Functional tests'!$A$1:$I$44</definedName>
    <definedName name="_xlnm._FilterDatabase" localSheetId="2" hidden="1">'Accessibility checks'!$A$1:$G$18</definedName>
    <definedName name="_xlnm._FilterDatabase" localSheetId="3" hidden="1">'Page coverage'!$A$1:$H$16</definedName>
    <definedName name="_xlnm._FilterDatabase" localSheetId="4" hidden="1">'Defects'!$A$1:$G$13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AD3"/>
      </patternFill>
    </fill>
    <fill>
      <patternFill patternType="solid">
        <fgColor rgb="00F8D7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4" fillId="0" borderId="1" pivotButton="0" quotePrefix="0" xfId="0"/>
    <xf numFmtId="0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Traceability matrix: Sauce Demo (saucedemo.com)</t>
        </is>
      </c>
    </row>
    <row r="2">
      <c r="A2" s="2" t="inlineStr">
        <is>
          <t>Test plan: docs/test-plan.md. Bug IDs are Azure DevOps work item numbers.</t>
        </is>
      </c>
    </row>
    <row r="4">
      <c r="A4" s="3" t="inlineStr">
        <is>
          <t>Measure</t>
        </is>
      </c>
      <c r="B4" s="3" t="inlineStr">
        <is>
          <t>Count</t>
        </is>
      </c>
    </row>
    <row r="5">
      <c r="A5" s="4" t="inlineStr">
        <is>
          <t>Functional test cases</t>
        </is>
      </c>
      <c r="B5" s="5">
        <f>COUNTA('Functional tests'!A2:A44)</f>
        <v/>
      </c>
    </row>
    <row r="6">
      <c r="A6" s="5" t="inlineStr">
        <is>
          <t xml:space="preserve">  Pass</t>
        </is>
      </c>
      <c r="B6" s="5">
        <f>COUNTIF('Functional tests'!H2:H44,"Pass")</f>
        <v/>
      </c>
    </row>
    <row r="7">
      <c r="A7" s="5" t="inlineStr">
        <is>
          <t xml:space="preserve">  Fail (known defect)</t>
        </is>
      </c>
      <c r="B7" s="5">
        <f>COUNTIF('Functional tests'!H2:H44,"Fail*")</f>
        <v/>
      </c>
    </row>
    <row r="8">
      <c r="A8" s="5" t="inlineStr">
        <is>
          <t xml:space="preserve">  Not run</t>
        </is>
      </c>
      <c r="B8" s="5">
        <f>COUNTIF('Functional tests'!H2:H44,"Not run")</f>
        <v/>
      </c>
    </row>
    <row r="9">
      <c r="A9" s="4" t="inlineStr">
        <is>
          <t>Accessibility checks</t>
        </is>
      </c>
      <c r="B9" s="5">
        <f>COUNTA('Accessibility checks'!A2:A18)</f>
        <v/>
      </c>
    </row>
    <row r="10">
      <c r="A10" s="5" t="inlineStr">
        <is>
          <t xml:space="preserve">  Pass</t>
        </is>
      </c>
      <c r="B10" s="5">
        <f>COUNTIF('Accessibility checks'!F2:F18,"Pass")</f>
        <v/>
      </c>
    </row>
    <row r="11">
      <c r="A11" s="5" t="inlineStr">
        <is>
          <t xml:space="preserve">  Fail (bug logged or pending)</t>
        </is>
      </c>
      <c r="B11" s="5">
        <f>COUNTIF('Accessibility checks'!F2:F18,"Fail")</f>
        <v/>
      </c>
    </row>
    <row r="12">
      <c r="A12" s="4" t="inlineStr">
        <is>
          <t>Defects</t>
        </is>
      </c>
      <c r="B12" s="5">
        <f>COUNTA('Defects'!A2:A13)</f>
        <v/>
      </c>
    </row>
    <row r="13">
      <c r="A13" s="5" t="inlineStr">
        <is>
          <t xml:space="preserve">  Bug IDs still to fill in (TBD)</t>
        </is>
      </c>
      <c r="B13" s="5">
        <f>COUNTIF('Defects'!A2:A13,"TBD")</f>
        <v/>
      </c>
    </row>
    <row r="15" ht="15" customHeight="1">
      <c r="A15" s="6" t="inlineStr">
        <is>
          <t>How to use this workbook</t>
        </is>
      </c>
    </row>
    <row r="16" ht="30" customHeight="1">
      <c r="A16" s="7" t="inlineStr">
        <is>
          <t>Sheets: Functional tests (one row per test case), Accessibility checks (WCAG checks with automation status), Page coverage (criterion by page), Defects (ADO bugs).</t>
        </is>
      </c>
    </row>
    <row r="17" ht="30" customHeight="1">
      <c r="A17" s="7" t="inlineStr">
        <is>
          <t>All defects have ADO bug IDs.</t>
        </is>
      </c>
    </row>
    <row r="18" ht="30" customHeight="1">
      <c r="A18" s="7" t="inlineStr">
        <is>
          <t>Result 'Fail (known defect)' means the automated test is an expected failure (xfail) that points to the bug ID.</t>
        </is>
      </c>
    </row>
    <row r="19" ht="30" customHeight="1">
      <c r="A19" s="7" t="inlineStr">
        <is>
          <t>Source of results: local pytest runs on Chromium and Firefox and the GitHub Actions run on Chromium, Firefox and WebKit (Oct 2026); manual accessibility audit with Chrome, axe DevTools and VoiceOver on macOS.</t>
        </is>
      </c>
    </row>
    <row r="20" ht="30" customHeight="1">
      <c r="A20" s="7" t="inlineStr">
        <is>
          <t>Focus order (2.4.3) was retested on all six pages after login; the same defect appears on each.</t>
        </is>
      </c>
    </row>
  </sheetData>
  <mergeCells count="6">
    <mergeCell ref="A16:F16"/>
    <mergeCell ref="A19:F19"/>
    <mergeCell ref="A17:F17"/>
    <mergeCell ref="A18:F18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22" customWidth="1" min="3" max="3"/>
    <col width="38" customWidth="1" min="4" max="4"/>
    <col width="9" customWidth="1" min="5" max="5"/>
    <col width="17" customWidth="1" min="6" max="6"/>
    <col width="62" customWidth="1" min="7" max="7"/>
    <col width="19" customWidth="1" min="8" max="8"/>
    <col width="12" customWidth="1" min="9" max="9"/>
  </cols>
  <sheetData>
    <row r="1">
      <c r="A1" s="8" t="inlineStr">
        <is>
          <t>Test case ID</t>
        </is>
      </c>
      <c r="B1" s="8" t="inlineStr">
        <is>
          <t>Title</t>
        </is>
      </c>
      <c r="C1" s="8" t="inlineStr">
        <is>
          <t>Page / user story</t>
        </is>
      </c>
      <c r="D1" s="8" t="inlineStr">
        <is>
          <t>Expected result</t>
        </is>
      </c>
      <c r="E1" s="8" t="inlineStr">
        <is>
          <t>Priority</t>
        </is>
      </c>
      <c r="F1" s="8" t="inlineStr">
        <is>
          <t>Suite</t>
        </is>
      </c>
      <c r="G1" s="8" t="inlineStr">
        <is>
          <t>Automated test</t>
        </is>
      </c>
      <c r="H1" s="8" t="inlineStr">
        <is>
          <t>Result</t>
        </is>
      </c>
      <c r="I1" s="8" t="inlineStr">
        <is>
          <t>Bug ID (ADO)</t>
        </is>
      </c>
    </row>
    <row r="2">
      <c r="A2" s="9" t="inlineStr">
        <is>
          <t>TC-LOGIN-01</t>
        </is>
      </c>
      <c r="B2" s="9" t="inlineStr">
        <is>
          <t>Valid login with standard_user</t>
        </is>
      </c>
      <c r="C2" s="9" t="inlineStr">
        <is>
          <t>Login</t>
        </is>
      </c>
      <c r="D2" s="9" t="inlineStr">
        <is>
          <t>Lands on Products page</t>
        </is>
      </c>
      <c r="E2" s="9" t="inlineStr">
        <is>
          <t>P1</t>
        </is>
      </c>
      <c r="F2" s="9" t="inlineStr">
        <is>
          <t>Smoke, Regression</t>
        </is>
      </c>
      <c r="G2" s="9" t="inlineStr">
        <is>
          <t>test_login.py::test_valid_login</t>
        </is>
      </c>
      <c r="H2" s="10" t="inlineStr">
        <is>
          <t>Pass</t>
        </is>
      </c>
      <c r="I2" s="9" t="inlineStr"/>
    </row>
    <row r="3">
      <c r="A3" s="9" t="inlineStr">
        <is>
          <t>TC-LOGIN-02</t>
        </is>
      </c>
      <c r="B3" s="9" t="inlineStr">
        <is>
          <t>Login with locked_out_user</t>
        </is>
      </c>
      <c r="C3" s="9" t="inlineStr">
        <is>
          <t>Login</t>
        </is>
      </c>
      <c r="D3" s="9" t="inlineStr">
        <is>
          <t>Locked-out error; stays on login</t>
        </is>
      </c>
      <c r="E3" s="9" t="inlineStr">
        <is>
          <t>P2</t>
        </is>
      </c>
      <c r="F3" s="9" t="inlineStr">
        <is>
          <t>Regression</t>
        </is>
      </c>
      <c r="G3" s="9" t="inlineStr">
        <is>
          <t>test_login.py::test_locked_out_user</t>
        </is>
      </c>
      <c r="H3" s="10" t="inlineStr">
        <is>
          <t>Pass</t>
        </is>
      </c>
      <c r="I3" s="9" t="inlineStr"/>
    </row>
    <row r="4">
      <c r="A4" s="9" t="inlineStr">
        <is>
          <t>TC-LOGIN-03a</t>
        </is>
      </c>
      <c r="B4" s="9" t="inlineStr">
        <is>
          <t>Valid username, wrong password</t>
        </is>
      </c>
      <c r="C4" s="9" t="inlineStr">
        <is>
          <t>Login</t>
        </is>
      </c>
      <c r="D4" s="9" t="inlineStr">
        <is>
          <t>Generic 'do not match' error</t>
        </is>
      </c>
      <c r="E4" s="9" t="inlineStr">
        <is>
          <t>P2</t>
        </is>
      </c>
      <c r="F4" s="9" t="inlineStr">
        <is>
          <t>Regression</t>
        </is>
      </c>
      <c r="G4" s="9" t="inlineStr">
        <is>
          <t>test_login.py::test_invalid_credentials[wrong_password]</t>
        </is>
      </c>
      <c r="H4" s="10" t="inlineStr">
        <is>
          <t>Pass</t>
        </is>
      </c>
      <c r="I4" s="9" t="inlineStr"/>
    </row>
    <row r="5">
      <c r="A5" s="9" t="inlineStr">
        <is>
          <t>TC-LOGIN-03b</t>
        </is>
      </c>
      <c r="B5" s="9" t="inlineStr">
        <is>
          <t>Unknown username, valid password</t>
        </is>
      </c>
      <c r="C5" s="9" t="inlineStr">
        <is>
          <t>Login</t>
        </is>
      </c>
      <c r="D5" s="9" t="inlineStr">
        <is>
          <t>Generic 'do not match' error</t>
        </is>
      </c>
      <c r="E5" s="9" t="inlineStr">
        <is>
          <t>P2</t>
        </is>
      </c>
      <c r="F5" s="9" t="inlineStr">
        <is>
          <t>Regression</t>
        </is>
      </c>
      <c r="G5" s="9" t="inlineStr">
        <is>
          <t>test_login.py::test_invalid_credentials[wrong_username]</t>
        </is>
      </c>
      <c r="H5" s="10" t="inlineStr">
        <is>
          <t>Pass</t>
        </is>
      </c>
      <c r="I5" s="9" t="inlineStr"/>
    </row>
    <row r="6">
      <c r="A6" s="9" t="inlineStr">
        <is>
          <t>TC-LOGIN-03c</t>
        </is>
      </c>
      <c r="B6" s="9" t="inlineStr">
        <is>
          <t>Unknown username and password</t>
        </is>
      </c>
      <c r="C6" s="9" t="inlineStr">
        <is>
          <t>Login</t>
        </is>
      </c>
      <c r="D6" s="9" t="inlineStr">
        <is>
          <t>Generic 'do not match' error</t>
        </is>
      </c>
      <c r="E6" s="9" t="inlineStr">
        <is>
          <t>P2</t>
        </is>
      </c>
      <c r="F6" s="9" t="inlineStr">
        <is>
          <t>Regression</t>
        </is>
      </c>
      <c r="G6" s="9" t="inlineStr">
        <is>
          <t>test_login.py::test_invalid_credentials[both_wrong]</t>
        </is>
      </c>
      <c r="H6" s="10" t="inlineStr">
        <is>
          <t>Pass</t>
        </is>
      </c>
      <c r="I6" s="9" t="inlineStr"/>
    </row>
    <row r="7">
      <c r="A7" s="9" t="inlineStr">
        <is>
          <t>TC-LOGIN-04a</t>
        </is>
      </c>
      <c r="B7" s="9" t="inlineStr">
        <is>
          <t>Both fields blank</t>
        </is>
      </c>
      <c r="C7" s="9" t="inlineStr">
        <is>
          <t>Login</t>
        </is>
      </c>
      <c r="D7" s="9" t="inlineStr">
        <is>
          <t>'Username is required'</t>
        </is>
      </c>
      <c r="E7" s="9" t="inlineStr">
        <is>
          <t>P2</t>
        </is>
      </c>
      <c r="F7" s="9" t="inlineStr">
        <is>
          <t>Regression</t>
        </is>
      </c>
      <c r="G7" s="9" t="inlineStr">
        <is>
          <t>test_login.py::test_required_fields[both_blank]</t>
        </is>
      </c>
      <c r="H7" s="10" t="inlineStr">
        <is>
          <t>Pass</t>
        </is>
      </c>
      <c r="I7" s="9" t="inlineStr"/>
    </row>
    <row r="8">
      <c r="A8" s="9" t="inlineStr">
        <is>
          <t>TC-LOGIN-04b</t>
        </is>
      </c>
      <c r="B8" s="9" t="inlineStr">
        <is>
          <t>Username blank, password filled</t>
        </is>
      </c>
      <c r="C8" s="9" t="inlineStr">
        <is>
          <t>Login</t>
        </is>
      </c>
      <c r="D8" s="9" t="inlineStr">
        <is>
          <t>'Username is required'</t>
        </is>
      </c>
      <c r="E8" s="9" t="inlineStr">
        <is>
          <t>P2</t>
        </is>
      </c>
      <c r="F8" s="9" t="inlineStr">
        <is>
          <t>Regression</t>
        </is>
      </c>
      <c r="G8" s="9" t="inlineStr">
        <is>
          <t>test_login.py::test_required_fields[username_blank]</t>
        </is>
      </c>
      <c r="H8" s="10" t="inlineStr">
        <is>
          <t>Pass</t>
        </is>
      </c>
      <c r="I8" s="9" t="inlineStr"/>
    </row>
    <row r="9">
      <c r="A9" s="9" t="inlineStr">
        <is>
          <t>TC-LOGIN-04c</t>
        </is>
      </c>
      <c r="B9" s="9" t="inlineStr">
        <is>
          <t>Username filled, password blank</t>
        </is>
      </c>
      <c r="C9" s="9" t="inlineStr">
        <is>
          <t>Login</t>
        </is>
      </c>
      <c r="D9" s="9" t="inlineStr">
        <is>
          <t>'Password is required'</t>
        </is>
      </c>
      <c r="E9" s="9" t="inlineStr">
        <is>
          <t>P2</t>
        </is>
      </c>
      <c r="F9" s="9" t="inlineStr">
        <is>
          <t>Regression</t>
        </is>
      </c>
      <c r="G9" s="9" t="inlineStr">
        <is>
          <t>test_login.py::test_required_fields[password_blank]</t>
        </is>
      </c>
      <c r="H9" s="10" t="inlineStr">
        <is>
          <t>Pass</t>
        </is>
      </c>
      <c r="I9" s="9" t="inlineStr"/>
    </row>
    <row r="10">
      <c r="A10" s="9" t="inlineStr">
        <is>
          <t>TC-LOGIN-05</t>
        </is>
      </c>
      <c r="B10" s="9" t="inlineStr">
        <is>
          <t>Password field is masked</t>
        </is>
      </c>
      <c r="C10" s="9" t="inlineStr">
        <is>
          <t>Login</t>
        </is>
      </c>
      <c r="D10" s="9" t="inlineStr">
        <is>
          <t>Characters are not displayed</t>
        </is>
      </c>
      <c r="E10" s="9" t="inlineStr">
        <is>
          <t>P3</t>
        </is>
      </c>
      <c r="F10" s="9" t="inlineStr">
        <is>
          <t>Regression</t>
        </is>
      </c>
      <c r="G10" s="9" t="inlineStr">
        <is>
          <t>test_login.py::test_tc_login_05_password_is_masked</t>
        </is>
      </c>
      <c r="H10" s="10" t="inlineStr">
        <is>
          <t>Pass</t>
        </is>
      </c>
      <c r="I10" s="9" t="inlineStr"/>
    </row>
    <row r="11">
      <c r="A11" s="9" t="inlineStr">
        <is>
          <t>TC-LOGIN-06</t>
        </is>
      </c>
      <c r="B11" s="9" t="inlineStr">
        <is>
          <t>Error message can be dismissed</t>
        </is>
      </c>
      <c r="C11" s="9" t="inlineStr">
        <is>
          <t>Login</t>
        </is>
      </c>
      <c r="D11" s="9" t="inlineStr">
        <is>
          <t>X button removes the error</t>
        </is>
      </c>
      <c r="E11" s="9" t="inlineStr">
        <is>
          <t>P3</t>
        </is>
      </c>
      <c r="F11" s="9" t="inlineStr">
        <is>
          <t>Regression</t>
        </is>
      </c>
      <c r="G11" s="9" t="inlineStr">
        <is>
          <t>test_login.py::test_tc_login_06_error_can_be_dismissed</t>
        </is>
      </c>
      <c r="H11" s="10" t="inlineStr">
        <is>
          <t>Pass</t>
        </is>
      </c>
      <c r="I11" s="9" t="inlineStr"/>
    </row>
    <row r="12">
      <c r="A12" s="9" t="inlineStr">
        <is>
          <t>TC-LOGIN-07</t>
        </is>
      </c>
      <c r="B12" s="9" t="inlineStr">
        <is>
          <t>Direct URL to products page while logged out</t>
        </is>
      </c>
      <c r="C12" s="9" t="inlineStr">
        <is>
          <t>Login</t>
        </is>
      </c>
      <c r="D12" s="9" t="inlineStr">
        <is>
          <t>Access blocked with error on login page</t>
        </is>
      </c>
      <c r="E12" s="9" t="inlineStr">
        <is>
          <t>P2</t>
        </is>
      </c>
      <c r="F12" s="9" t="inlineStr">
        <is>
          <t>Regression</t>
        </is>
      </c>
      <c r="G12" s="9" t="inlineStr">
        <is>
          <t>test_login.py::test_tc_login_07_direct_url_blocked_when_logged_out</t>
        </is>
      </c>
      <c r="H12" s="10" t="inlineStr">
        <is>
          <t>Pass</t>
        </is>
      </c>
      <c r="I12" s="9" t="inlineStr"/>
    </row>
    <row r="13">
      <c r="A13" s="9" t="inlineStr">
        <is>
          <t>TC-INV-01</t>
        </is>
      </c>
      <c r="B13" s="9" t="inlineStr">
        <is>
          <t>Six products are listed</t>
        </is>
      </c>
      <c r="C13" s="9" t="inlineStr">
        <is>
          <t>Product list</t>
        </is>
      </c>
      <c r="D13" s="9" t="inlineStr">
        <is>
          <t>Six items shown</t>
        </is>
      </c>
      <c r="E13" s="9" t="inlineStr">
        <is>
          <t>P1</t>
        </is>
      </c>
      <c r="F13" s="9" t="inlineStr">
        <is>
          <t>Smoke, Regression</t>
        </is>
      </c>
      <c r="G13" s="9" t="inlineStr">
        <is>
          <t>test_inventory.py::test_inventory_lists_six_products</t>
        </is>
      </c>
      <c r="H13" s="10" t="inlineStr">
        <is>
          <t>Pass</t>
        </is>
      </c>
      <c r="I13" s="9" t="inlineStr"/>
    </row>
    <row r="14">
      <c r="A14" s="9" t="inlineStr">
        <is>
          <t>TC-INV-02a</t>
        </is>
      </c>
      <c r="B14" s="9" t="inlineStr">
        <is>
          <t>Sort by name A to Z</t>
        </is>
      </c>
      <c r="C14" s="9" t="inlineStr">
        <is>
          <t>Product list</t>
        </is>
      </c>
      <c r="D14" s="9" t="inlineStr">
        <is>
          <t>Names ascending</t>
        </is>
      </c>
      <c r="E14" s="9" t="inlineStr">
        <is>
          <t>P2</t>
        </is>
      </c>
      <c r="F14" s="9" t="inlineStr">
        <is>
          <t>Regression</t>
        </is>
      </c>
      <c r="G14" s="9" t="inlineStr">
        <is>
          <t>test_inventory.py::test_sort_orders[name_az]</t>
        </is>
      </c>
      <c r="H14" s="10" t="inlineStr">
        <is>
          <t>Pass</t>
        </is>
      </c>
      <c r="I14" s="9" t="inlineStr"/>
    </row>
    <row r="15">
      <c r="A15" s="9" t="inlineStr">
        <is>
          <t>TC-INV-02b</t>
        </is>
      </c>
      <c r="B15" s="9" t="inlineStr">
        <is>
          <t>Sort by name Z to A</t>
        </is>
      </c>
      <c r="C15" s="9" t="inlineStr">
        <is>
          <t>Product list</t>
        </is>
      </c>
      <c r="D15" s="9" t="inlineStr">
        <is>
          <t>Names descending</t>
        </is>
      </c>
      <c r="E15" s="9" t="inlineStr">
        <is>
          <t>P2</t>
        </is>
      </c>
      <c r="F15" s="9" t="inlineStr">
        <is>
          <t>Regression</t>
        </is>
      </c>
      <c r="G15" s="9" t="inlineStr">
        <is>
          <t>test_inventory.py::test_sort_orders[name_za]</t>
        </is>
      </c>
      <c r="H15" s="10" t="inlineStr">
        <is>
          <t>Pass</t>
        </is>
      </c>
      <c r="I15" s="9" t="inlineStr"/>
    </row>
    <row r="16">
      <c r="A16" s="9" t="inlineStr">
        <is>
          <t>TC-INV-02c</t>
        </is>
      </c>
      <c r="B16" s="9" t="inlineStr">
        <is>
          <t>Sort by price low to high</t>
        </is>
      </c>
      <c r="C16" s="9" t="inlineStr">
        <is>
          <t>Product list</t>
        </is>
      </c>
      <c r="D16" s="9" t="inlineStr">
        <is>
          <t>Prices ascending</t>
        </is>
      </c>
      <c r="E16" s="9" t="inlineStr">
        <is>
          <t>P2</t>
        </is>
      </c>
      <c r="F16" s="9" t="inlineStr">
        <is>
          <t>Regression</t>
        </is>
      </c>
      <c r="G16" s="9" t="inlineStr">
        <is>
          <t>test_inventory.py::test_sort_orders[price_lohi]</t>
        </is>
      </c>
      <c r="H16" s="10" t="inlineStr">
        <is>
          <t>Pass</t>
        </is>
      </c>
      <c r="I16" s="9" t="inlineStr"/>
    </row>
    <row r="17">
      <c r="A17" s="9" t="inlineStr">
        <is>
          <t>TC-INV-02d</t>
        </is>
      </c>
      <c r="B17" s="9" t="inlineStr">
        <is>
          <t>Sort by price high to low</t>
        </is>
      </c>
      <c r="C17" s="9" t="inlineStr">
        <is>
          <t>Product list</t>
        </is>
      </c>
      <c r="D17" s="9" t="inlineStr">
        <is>
          <t>Prices descending</t>
        </is>
      </c>
      <c r="E17" s="9" t="inlineStr">
        <is>
          <t>P2</t>
        </is>
      </c>
      <c r="F17" s="9" t="inlineStr">
        <is>
          <t>Regression</t>
        </is>
      </c>
      <c r="G17" s="9" t="inlineStr">
        <is>
          <t>test_inventory.py::test_sort_orders[price_hilo]</t>
        </is>
      </c>
      <c r="H17" s="10" t="inlineStr">
        <is>
          <t>Pass</t>
        </is>
      </c>
      <c r="I17" s="9" t="inlineStr"/>
    </row>
    <row r="18">
      <c r="A18" s="9" t="inlineStr">
        <is>
          <t>TC-INV-03</t>
        </is>
      </c>
      <c r="B18" s="9" t="inlineStr">
        <is>
          <t>Add an item updates the cart badge</t>
        </is>
      </c>
      <c r="C18" s="9" t="inlineStr">
        <is>
          <t>Product list</t>
        </is>
      </c>
      <c r="D18" s="9" t="inlineStr">
        <is>
          <t>Badge shows 1; button becomes Remove</t>
        </is>
      </c>
      <c r="E18" s="9" t="inlineStr">
        <is>
          <t>P1</t>
        </is>
      </c>
      <c r="F18" s="9" t="inlineStr">
        <is>
          <t>Smoke, Regression</t>
        </is>
      </c>
      <c r="G18" s="9" t="inlineStr">
        <is>
          <t>test_inventory.py::test_add_item_update_badge</t>
        </is>
      </c>
      <c r="H18" s="10" t="inlineStr">
        <is>
          <t>Pass</t>
        </is>
      </c>
      <c r="I18" s="9" t="inlineStr"/>
    </row>
    <row r="19">
      <c r="A19" s="9" t="inlineStr">
        <is>
          <t>TC-INV-04</t>
        </is>
      </c>
      <c r="B19" s="9" t="inlineStr">
        <is>
          <t>Add two items, remove one</t>
        </is>
      </c>
      <c r="C19" s="9" t="inlineStr">
        <is>
          <t>Product list</t>
        </is>
      </c>
      <c r="D19" s="9" t="inlineStr">
        <is>
          <t>Badge shows 2, then 1</t>
        </is>
      </c>
      <c r="E19" s="9" t="inlineStr">
        <is>
          <t>P2</t>
        </is>
      </c>
      <c r="F19" s="9" t="inlineStr">
        <is>
          <t>Regression</t>
        </is>
      </c>
      <c r="G19" s="9" t="inlineStr">
        <is>
          <t>test_inventory.py::test_add_two_then_remove_one</t>
        </is>
      </c>
      <c r="H19" s="10" t="inlineStr">
        <is>
          <t>Pass</t>
        </is>
      </c>
      <c r="I19" s="9" t="inlineStr"/>
    </row>
    <row r="20">
      <c r="A20" s="9" t="inlineStr">
        <is>
          <t>TC-INV-05</t>
        </is>
      </c>
      <c r="B20" s="9" t="inlineStr">
        <is>
          <t>Remove the last item clears the badge</t>
        </is>
      </c>
      <c r="C20" s="9" t="inlineStr">
        <is>
          <t>Product list</t>
        </is>
      </c>
      <c r="D20" s="9" t="inlineStr">
        <is>
          <t>No badge</t>
        </is>
      </c>
      <c r="E20" s="9" t="inlineStr">
        <is>
          <t>P2</t>
        </is>
      </c>
      <c r="F20" s="9" t="inlineStr">
        <is>
          <t>Regression</t>
        </is>
      </c>
      <c r="G20" s="9" t="inlineStr">
        <is>
          <t>test_inventory.py::test_remove_last_item_clears_badge</t>
        </is>
      </c>
      <c r="H20" s="10" t="inlineStr">
        <is>
          <t>Pass</t>
        </is>
      </c>
      <c r="I20" s="9" t="inlineStr"/>
    </row>
    <row r="21">
      <c r="A21" s="9" t="inlineStr">
        <is>
          <t>TC-INV-06</t>
        </is>
      </c>
      <c r="B21" s="9" t="inlineStr">
        <is>
          <t>Logout from the menu</t>
        </is>
      </c>
      <c r="C21" s="9" t="inlineStr">
        <is>
          <t>Product list</t>
        </is>
      </c>
      <c r="D21" s="9" t="inlineStr">
        <is>
          <t>Returns to login page</t>
        </is>
      </c>
      <c r="E21" s="9" t="inlineStr">
        <is>
          <t>P2</t>
        </is>
      </c>
      <c r="F21" s="9" t="inlineStr">
        <is>
          <t>Regression</t>
        </is>
      </c>
      <c r="G21" s="9" t="inlineStr">
        <is>
          <t>test_inventory.py::test_logout</t>
        </is>
      </c>
      <c r="H21" s="10" t="inlineStr">
        <is>
          <t>Pass</t>
        </is>
      </c>
      <c r="I21" s="9" t="inlineStr"/>
    </row>
    <row r="22">
      <c r="A22" s="9" t="inlineStr">
        <is>
          <t>TC-INV-07</t>
        </is>
      </c>
      <c r="B22" s="9" t="inlineStr">
        <is>
          <t>Open product details</t>
        </is>
      </c>
      <c r="C22" s="9" t="inlineStr">
        <is>
          <t>Product list</t>
        </is>
      </c>
      <c r="D22" s="9" t="inlineStr">
        <is>
          <t>Details page for the selected product</t>
        </is>
      </c>
      <c r="E22" s="9" t="inlineStr">
        <is>
          <t>P2</t>
        </is>
      </c>
      <c r="F22" s="9" t="inlineStr">
        <is>
          <t>Regression</t>
        </is>
      </c>
      <c r="G22" s="9" t="inlineStr">
        <is>
          <t>test_inventory.py::test_tc_inv_07_open_product_details</t>
        </is>
      </c>
      <c r="H22" s="10" t="inlineStr">
        <is>
          <t>Pass</t>
        </is>
      </c>
      <c r="I22" s="9" t="inlineStr"/>
    </row>
    <row r="23">
      <c r="A23" s="9" t="inlineStr">
        <is>
          <t>TC-INV-08</t>
        </is>
      </c>
      <c r="B23" s="9" t="inlineStr">
        <is>
          <t>Reset App State resets the product buttons</t>
        </is>
      </c>
      <c r="C23" s="9" t="inlineStr">
        <is>
          <t>Product list</t>
        </is>
      </c>
      <c r="D23" s="9" t="inlineStr">
        <is>
          <t>Badge clears and buttons return to Add to cart</t>
        </is>
      </c>
      <c r="E23" s="9" t="inlineStr">
        <is>
          <t>P3</t>
        </is>
      </c>
      <c r="F23" s="9" t="inlineStr">
        <is>
          <t>Regression</t>
        </is>
      </c>
      <c r="G23" s="9" t="inlineStr">
        <is>
          <t>test_inventory.py::test_tc_inv_08_reset_app_state_resets_buttons (xfail)</t>
        </is>
      </c>
      <c r="H23" s="11" t="inlineStr">
        <is>
          <t>Fail (known defect)</t>
        </is>
      </c>
      <c r="I23" s="9" t="inlineStr">
        <is>
          <t>35</t>
        </is>
      </c>
    </row>
    <row r="24">
      <c r="A24" s="9" t="inlineStr">
        <is>
          <t>TC-INV-09</t>
        </is>
      </c>
      <c r="B24" s="9" t="inlineStr">
        <is>
          <t>Cart contents persist across pages</t>
        </is>
      </c>
      <c r="C24" s="9" t="inlineStr">
        <is>
          <t>Product list</t>
        </is>
      </c>
      <c r="D24" s="9" t="inlineStr">
        <is>
          <t>Items remain</t>
        </is>
      </c>
      <c r="E24" s="9" t="inlineStr">
        <is>
          <t>P2</t>
        </is>
      </c>
      <c r="F24" s="9" t="inlineStr">
        <is>
          <t>Regression</t>
        </is>
      </c>
      <c r="G24" s="9" t="inlineStr">
        <is>
          <t>test_inventory.py::test_tc_inv_09_cart_persists_across_pages</t>
        </is>
      </c>
      <c r="H24" s="10" t="inlineStr">
        <is>
          <t>Pass</t>
        </is>
      </c>
      <c r="I24" s="9" t="inlineStr"/>
    </row>
    <row r="25">
      <c r="A25" s="9" t="inlineStr">
        <is>
          <t>TC-CART-01</t>
        </is>
      </c>
      <c r="B25" s="9" t="inlineStr">
        <is>
          <t>Cart shows the added items</t>
        </is>
      </c>
      <c r="C25" s="9" t="inlineStr">
        <is>
          <t>Cart</t>
        </is>
      </c>
      <c r="D25" s="9" t="inlineStr">
        <is>
          <t>Items listed with name, price, quantity</t>
        </is>
      </c>
      <c r="E25" s="9" t="inlineStr">
        <is>
          <t>P1</t>
        </is>
      </c>
      <c r="F25" s="9" t="inlineStr">
        <is>
          <t>Regression</t>
        </is>
      </c>
      <c r="G25" s="9" t="inlineStr">
        <is>
          <t>test_cart.py::test_cart_shows_added_items</t>
        </is>
      </c>
      <c r="H25" s="10" t="inlineStr">
        <is>
          <t>Pass</t>
        </is>
      </c>
      <c r="I25" s="9" t="inlineStr"/>
    </row>
    <row r="26">
      <c r="A26" s="9" t="inlineStr">
        <is>
          <t>TC-CART-02</t>
        </is>
      </c>
      <c r="B26" s="9" t="inlineStr">
        <is>
          <t>Remove an item from the cart</t>
        </is>
      </c>
      <c r="C26" s="9" t="inlineStr">
        <is>
          <t>Cart</t>
        </is>
      </c>
      <c r="D26" s="9" t="inlineStr">
        <is>
          <t>Item removed</t>
        </is>
      </c>
      <c r="E26" s="9" t="inlineStr">
        <is>
          <t>P2</t>
        </is>
      </c>
      <c r="F26" s="9" t="inlineStr">
        <is>
          <t>Regression</t>
        </is>
      </c>
      <c r="G26" s="9" t="inlineStr">
        <is>
          <t>test_cart.py::test_remove_item_from_cart</t>
        </is>
      </c>
      <c r="H26" s="10" t="inlineStr">
        <is>
          <t>Pass</t>
        </is>
      </c>
      <c r="I26" s="9" t="inlineStr"/>
    </row>
    <row r="27">
      <c r="A27" s="9" t="inlineStr">
        <is>
          <t>TC-CART-03</t>
        </is>
      </c>
      <c r="B27" s="9" t="inlineStr">
        <is>
          <t>Continue Shopping returns to Products</t>
        </is>
      </c>
      <c r="C27" s="9" t="inlineStr">
        <is>
          <t>Cart</t>
        </is>
      </c>
      <c r="D27" s="9" t="inlineStr">
        <is>
          <t>Products page</t>
        </is>
      </c>
      <c r="E27" s="9" t="inlineStr">
        <is>
          <t>P2</t>
        </is>
      </c>
      <c r="F27" s="9" t="inlineStr">
        <is>
          <t>Regression</t>
        </is>
      </c>
      <c r="G27" s="9" t="inlineStr">
        <is>
          <t>test_cart.py::test_continue_shopping_return_to_products</t>
        </is>
      </c>
      <c r="H27" s="10" t="inlineStr">
        <is>
          <t>Pass</t>
        </is>
      </c>
      <c r="I27" s="9" t="inlineStr"/>
    </row>
    <row r="28">
      <c r="A28" s="9" t="inlineStr">
        <is>
          <t>TC-CART-04</t>
        </is>
      </c>
      <c r="B28" s="9" t="inlineStr">
        <is>
          <t>Cart name, quantity, price match the product list</t>
        </is>
      </c>
      <c r="C28" s="9" t="inlineStr">
        <is>
          <t>Cart</t>
        </is>
      </c>
      <c r="D28" s="9" t="inlineStr">
        <is>
          <t>Values match</t>
        </is>
      </c>
      <c r="E28" s="9" t="inlineStr">
        <is>
          <t>P2</t>
        </is>
      </c>
      <c r="F28" s="9" t="inlineStr">
        <is>
          <t>Regression</t>
        </is>
      </c>
      <c r="G28" s="9" t="inlineStr">
        <is>
          <t>test_cart.py::test_tc_cart_04_cart_matches_product_list</t>
        </is>
      </c>
      <c r="H28" s="10" t="inlineStr">
        <is>
          <t>Pass</t>
        </is>
      </c>
      <c r="I28" s="9" t="inlineStr"/>
    </row>
    <row r="29">
      <c r="A29" s="9" t="inlineStr">
        <is>
          <t>TC-CART-05</t>
        </is>
      </c>
      <c r="B29" s="9" t="inlineStr">
        <is>
          <t>Reset App State empties the cart page</t>
        </is>
      </c>
      <c r="C29" s="9" t="inlineStr">
        <is>
          <t>Cart</t>
        </is>
      </c>
      <c r="D29" s="9" t="inlineStr">
        <is>
          <t>Cart shows no items after reset</t>
        </is>
      </c>
      <c r="E29" s="9" t="inlineStr">
        <is>
          <t>P3</t>
        </is>
      </c>
      <c r="F29" s="9" t="inlineStr">
        <is>
          <t>Regression</t>
        </is>
      </c>
      <c r="G29" s="9" t="inlineStr">
        <is>
          <t>test_cart.py::test_tc_cart_05_reset_app_state_empties_cart (xfail)</t>
        </is>
      </c>
      <c r="H29" s="11" t="inlineStr">
        <is>
          <t>Fail (known defect)</t>
        </is>
      </c>
      <c r="I29" s="9" t="inlineStr">
        <is>
          <t>35</t>
        </is>
      </c>
    </row>
    <row r="30">
      <c r="A30" s="9" t="inlineStr">
        <is>
          <t>TC-CHKI-01a</t>
        </is>
      </c>
      <c r="B30" s="9" t="inlineStr">
        <is>
          <t>First name blank</t>
        </is>
      </c>
      <c r="C30" s="9" t="inlineStr">
        <is>
          <t>Checkout information</t>
        </is>
      </c>
      <c r="D30" s="9" t="inlineStr">
        <is>
          <t>'First Name is required'</t>
        </is>
      </c>
      <c r="E30" s="9" t="inlineStr">
        <is>
          <t>P2</t>
        </is>
      </c>
      <c r="F30" s="9" t="inlineStr">
        <is>
          <t>Regression</t>
        </is>
      </c>
      <c r="G30" s="9" t="inlineStr">
        <is>
          <t>test_checkout_information.py::test_required_fields[first_blank]</t>
        </is>
      </c>
      <c r="H30" s="10" t="inlineStr">
        <is>
          <t>Pass</t>
        </is>
      </c>
      <c r="I30" s="9" t="inlineStr"/>
    </row>
    <row r="31">
      <c r="A31" s="9" t="inlineStr">
        <is>
          <t>TC-CHKI-01b</t>
        </is>
      </c>
      <c r="B31" s="9" t="inlineStr">
        <is>
          <t>Last name blank</t>
        </is>
      </c>
      <c r="C31" s="9" t="inlineStr">
        <is>
          <t>Checkout information</t>
        </is>
      </c>
      <c r="D31" s="9" t="inlineStr">
        <is>
          <t>'Last Name is required'</t>
        </is>
      </c>
      <c r="E31" s="9" t="inlineStr">
        <is>
          <t>P2</t>
        </is>
      </c>
      <c r="F31" s="9" t="inlineStr">
        <is>
          <t>Regression</t>
        </is>
      </c>
      <c r="G31" s="9" t="inlineStr">
        <is>
          <t>test_checkout_information.py::test_required_fields[last_blank]</t>
        </is>
      </c>
      <c r="H31" s="10" t="inlineStr">
        <is>
          <t>Pass</t>
        </is>
      </c>
      <c r="I31" s="9" t="inlineStr"/>
    </row>
    <row r="32">
      <c r="A32" s="9" t="inlineStr">
        <is>
          <t>TC-CHKI-01c</t>
        </is>
      </c>
      <c r="B32" s="9" t="inlineStr">
        <is>
          <t>Postal code blank</t>
        </is>
      </c>
      <c r="C32" s="9" t="inlineStr">
        <is>
          <t>Checkout information</t>
        </is>
      </c>
      <c r="D32" s="9" t="inlineStr">
        <is>
          <t>'Postal Code is required'</t>
        </is>
      </c>
      <c r="E32" s="9" t="inlineStr">
        <is>
          <t>P2</t>
        </is>
      </c>
      <c r="F32" s="9" t="inlineStr">
        <is>
          <t>Regression</t>
        </is>
      </c>
      <c r="G32" s="9" t="inlineStr">
        <is>
          <t>test_checkout_information.py::test_required_fields[postal_blank]</t>
        </is>
      </c>
      <c r="H32" s="10" t="inlineStr">
        <is>
          <t>Pass</t>
        </is>
      </c>
      <c r="I32" s="9" t="inlineStr"/>
    </row>
    <row r="33">
      <c r="A33" s="9" t="inlineStr">
        <is>
          <t>TC-CHKI-01d</t>
        </is>
      </c>
      <c r="B33" s="9" t="inlineStr">
        <is>
          <t>First and last name blank</t>
        </is>
      </c>
      <c r="C33" s="9" t="inlineStr">
        <is>
          <t>Checkout information</t>
        </is>
      </c>
      <c r="D33" s="9" t="inlineStr">
        <is>
          <t>'First Name is required'</t>
        </is>
      </c>
      <c r="E33" s="9" t="inlineStr">
        <is>
          <t>P2</t>
        </is>
      </c>
      <c r="F33" s="9" t="inlineStr">
        <is>
          <t>Regression</t>
        </is>
      </c>
      <c r="G33" s="9" t="inlineStr">
        <is>
          <t>test_checkout_information.py::test_required_fields[first_and_last_blank]</t>
        </is>
      </c>
      <c r="H33" s="10" t="inlineStr">
        <is>
          <t>Pass</t>
        </is>
      </c>
      <c r="I33" s="9" t="inlineStr"/>
    </row>
    <row r="34">
      <c r="A34" s="9" t="inlineStr">
        <is>
          <t>TC-CHKI-01e</t>
        </is>
      </c>
      <c r="B34" s="9" t="inlineStr">
        <is>
          <t>First name and postal code blank</t>
        </is>
      </c>
      <c r="C34" s="9" t="inlineStr">
        <is>
          <t>Checkout information</t>
        </is>
      </c>
      <c r="D34" s="9" t="inlineStr">
        <is>
          <t>'First Name is required'</t>
        </is>
      </c>
      <c r="E34" s="9" t="inlineStr">
        <is>
          <t>P2</t>
        </is>
      </c>
      <c r="F34" s="9" t="inlineStr">
        <is>
          <t>Regression</t>
        </is>
      </c>
      <c r="G34" s="9" t="inlineStr">
        <is>
          <t>test_checkout_information.py::test_required_fields[first_and_postal_blank]</t>
        </is>
      </c>
      <c r="H34" s="10" t="inlineStr">
        <is>
          <t>Pass</t>
        </is>
      </c>
      <c r="I34" s="9" t="inlineStr"/>
    </row>
    <row r="35">
      <c r="A35" s="9" t="inlineStr">
        <is>
          <t>TC-CHKI-01f</t>
        </is>
      </c>
      <c r="B35" s="9" t="inlineStr">
        <is>
          <t>Last name and postal code blank</t>
        </is>
      </c>
      <c r="C35" s="9" t="inlineStr">
        <is>
          <t>Checkout information</t>
        </is>
      </c>
      <c r="D35" s="9" t="inlineStr">
        <is>
          <t>'Last Name is required'</t>
        </is>
      </c>
      <c r="E35" s="9" t="inlineStr">
        <is>
          <t>P2</t>
        </is>
      </c>
      <c r="F35" s="9" t="inlineStr">
        <is>
          <t>Regression</t>
        </is>
      </c>
      <c r="G35" s="9" t="inlineStr">
        <is>
          <t>test_checkout_information.py::test_required_fields[last_and_postal_blank]</t>
        </is>
      </c>
      <c r="H35" s="10" t="inlineStr">
        <is>
          <t>Pass</t>
        </is>
      </c>
      <c r="I35" s="9" t="inlineStr"/>
    </row>
    <row r="36">
      <c r="A36" s="9" t="inlineStr">
        <is>
          <t>TC-CHKI-01g</t>
        </is>
      </c>
      <c r="B36" s="9" t="inlineStr">
        <is>
          <t>All fields blank</t>
        </is>
      </c>
      <c r="C36" s="9" t="inlineStr">
        <is>
          <t>Checkout information</t>
        </is>
      </c>
      <c r="D36" s="9" t="inlineStr">
        <is>
          <t>'First Name is required'</t>
        </is>
      </c>
      <c r="E36" s="9" t="inlineStr">
        <is>
          <t>P2</t>
        </is>
      </c>
      <c r="F36" s="9" t="inlineStr">
        <is>
          <t>Regression</t>
        </is>
      </c>
      <c r="G36" s="9" t="inlineStr">
        <is>
          <t>test_checkout_information.py::test_required_fields[all_blank]</t>
        </is>
      </c>
      <c r="H36" s="10" t="inlineStr">
        <is>
          <t>Pass</t>
        </is>
      </c>
      <c r="I36" s="9" t="inlineStr"/>
    </row>
    <row r="37">
      <c r="A37" s="9" t="inlineStr">
        <is>
          <t>TC-CHKI-02</t>
        </is>
      </c>
      <c r="B37" s="9" t="inlineStr">
        <is>
          <t>Cancel returns to the cart</t>
        </is>
      </c>
      <c r="C37" s="9" t="inlineStr">
        <is>
          <t>Checkout information</t>
        </is>
      </c>
      <c r="D37" s="9" t="inlineStr">
        <is>
          <t>Cart page</t>
        </is>
      </c>
      <c r="E37" s="9" t="inlineStr">
        <is>
          <t>P3</t>
        </is>
      </c>
      <c r="F37" s="9" t="inlineStr">
        <is>
          <t>Regression</t>
        </is>
      </c>
      <c r="G37" s="9" t="inlineStr">
        <is>
          <t>test_checkout_information.py::test_tc_chki_02_cancel_returns_to_cart</t>
        </is>
      </c>
      <c r="H37" s="10" t="inlineStr">
        <is>
          <t>Pass</t>
        </is>
      </c>
      <c r="I37" s="9" t="inlineStr"/>
    </row>
    <row r="38">
      <c r="A38" s="9" t="inlineStr">
        <is>
          <t>TC-CHKO-01</t>
        </is>
      </c>
      <c r="B38" s="9" t="inlineStr">
        <is>
          <t>Total equals subtotal plus tax</t>
        </is>
      </c>
      <c r="C38" s="9" t="inlineStr">
        <is>
          <t>Checkout overview</t>
        </is>
      </c>
      <c r="D38" s="9" t="inlineStr">
        <is>
          <t>Arithmetic matches</t>
        </is>
      </c>
      <c r="E38" s="9" t="inlineStr">
        <is>
          <t>P1</t>
        </is>
      </c>
      <c r="F38" s="9" t="inlineStr">
        <is>
          <t>Regression</t>
        </is>
      </c>
      <c r="G38" s="9" t="inlineStr">
        <is>
          <t>test_checkout_overview.py::test_order_total_is_subtotal_plus_tax</t>
        </is>
      </c>
      <c r="H38" s="10" t="inlineStr">
        <is>
          <t>Pass</t>
        </is>
      </c>
      <c r="I38" s="9" t="inlineStr"/>
    </row>
    <row r="39">
      <c r="A39" s="9" t="inlineStr">
        <is>
          <t>TC-CHKO-02</t>
        </is>
      </c>
      <c r="B39" s="9" t="inlineStr">
        <is>
          <t>Overview items match the cart</t>
        </is>
      </c>
      <c r="C39" s="9" t="inlineStr">
        <is>
          <t>Checkout overview</t>
        </is>
      </c>
      <c r="D39" s="9" t="inlineStr">
        <is>
          <t>Same items</t>
        </is>
      </c>
      <c r="E39" s="9" t="inlineStr">
        <is>
          <t>P2</t>
        </is>
      </c>
      <c r="F39" s="9" t="inlineStr">
        <is>
          <t>Regression</t>
        </is>
      </c>
      <c r="G39" s="9" t="inlineStr">
        <is>
          <t>test_checkout_overview.py::test_tc_chko_02_items_match_cart</t>
        </is>
      </c>
      <c r="H39" s="10" t="inlineStr">
        <is>
          <t>Pass</t>
        </is>
      </c>
      <c r="I39" s="9" t="inlineStr"/>
    </row>
    <row r="40">
      <c r="A40" s="9" t="inlineStr">
        <is>
          <t>TC-CHKO-03</t>
        </is>
      </c>
      <c r="B40" s="9" t="inlineStr">
        <is>
          <t>Cancel returns to Products</t>
        </is>
      </c>
      <c r="C40" s="9" t="inlineStr">
        <is>
          <t>Checkout overview</t>
        </is>
      </c>
      <c r="D40" s="9" t="inlineStr">
        <is>
          <t>Products page</t>
        </is>
      </c>
      <c r="E40" s="9" t="inlineStr">
        <is>
          <t>P3</t>
        </is>
      </c>
      <c r="F40" s="9" t="inlineStr">
        <is>
          <t>Regression</t>
        </is>
      </c>
      <c r="G40" s="9" t="inlineStr">
        <is>
          <t>test_checkout_overview.py::test_tc_chko_03_cancel_returns_to_products</t>
        </is>
      </c>
      <c r="H40" s="10" t="inlineStr">
        <is>
          <t>Pass</t>
        </is>
      </c>
      <c r="I40" s="9" t="inlineStr"/>
    </row>
    <row r="41">
      <c r="A41" s="9" t="inlineStr">
        <is>
          <t>TC-CHKC-01</t>
        </is>
      </c>
      <c r="B41" s="9" t="inlineStr">
        <is>
          <t>Complete a purchase (happy path)</t>
        </is>
      </c>
      <c r="C41" s="9" t="inlineStr">
        <is>
          <t>Checkout complete</t>
        </is>
      </c>
      <c r="D41" s="9" t="inlineStr">
        <is>
          <t>Confirmation message shown</t>
        </is>
      </c>
      <c r="E41" s="9" t="inlineStr">
        <is>
          <t>P1</t>
        </is>
      </c>
      <c r="F41" s="9" t="inlineStr">
        <is>
          <t>Smoke, Regression</t>
        </is>
      </c>
      <c r="G41" s="9" t="inlineStr">
        <is>
          <t>test_checkout_complete.py::test_checkout_happy_path</t>
        </is>
      </c>
      <c r="H41" s="10" t="inlineStr">
        <is>
          <t>Pass</t>
        </is>
      </c>
      <c r="I41" s="9" t="inlineStr"/>
    </row>
    <row r="42">
      <c r="A42" s="9" t="inlineStr">
        <is>
          <t>TC-CHKC-02</t>
        </is>
      </c>
      <c r="B42" s="9" t="inlineStr">
        <is>
          <t>Back Home returns to Products</t>
        </is>
      </c>
      <c r="C42" s="9" t="inlineStr">
        <is>
          <t>Checkout complete</t>
        </is>
      </c>
      <c r="D42" s="9" t="inlineStr">
        <is>
          <t>Products page</t>
        </is>
      </c>
      <c r="E42" s="9" t="inlineStr">
        <is>
          <t>P3</t>
        </is>
      </c>
      <c r="F42" s="9" t="inlineStr">
        <is>
          <t>Regression</t>
        </is>
      </c>
      <c r="G42" s="9" t="inlineStr">
        <is>
          <t>test_checkout_complete.py::test_tc_chkc_02_back_home_returns_to_products</t>
        </is>
      </c>
      <c r="H42" s="10" t="inlineStr">
        <is>
          <t>Pass</t>
        </is>
      </c>
      <c r="I42" s="9" t="inlineStr"/>
    </row>
    <row r="43">
      <c r="A43" s="9" t="inlineStr">
        <is>
          <t>TC-CHKC-03</t>
        </is>
      </c>
      <c r="B43" s="9" t="inlineStr">
        <is>
          <t>Cart is empty after the order</t>
        </is>
      </c>
      <c r="C43" s="9" t="inlineStr">
        <is>
          <t>Checkout complete</t>
        </is>
      </c>
      <c r="D43" s="9" t="inlineStr">
        <is>
          <t>No badge</t>
        </is>
      </c>
      <c r="E43" s="9" t="inlineStr">
        <is>
          <t>P2</t>
        </is>
      </c>
      <c r="F43" s="9" t="inlineStr">
        <is>
          <t>Regression</t>
        </is>
      </c>
      <c r="G43" s="9" t="inlineStr">
        <is>
          <t>test_checkout_complete.py::test_tc_chkc_03_cart_empty_after_order</t>
        </is>
      </c>
      <c r="H43" s="10" t="inlineStr">
        <is>
          <t>Pass</t>
        </is>
      </c>
      <c r="I43" s="9" t="inlineStr"/>
    </row>
    <row r="44">
      <c r="A44" s="9" t="inlineStr">
        <is>
          <t>TC-CHKC-04</t>
        </is>
      </c>
      <c r="B44" s="9" t="inlineStr">
        <is>
          <t>Generate PDF order downloads a PDF</t>
        </is>
      </c>
      <c r="C44" s="9" t="inlineStr">
        <is>
          <t>Checkout complete</t>
        </is>
      </c>
      <c r="D44" s="9" t="inlineStr">
        <is>
          <t>A .pdf file downloads</t>
        </is>
      </c>
      <c r="E44" s="9" t="inlineStr">
        <is>
          <t>P3</t>
        </is>
      </c>
      <c r="F44" s="9" t="inlineStr">
        <is>
          <t>Regression</t>
        </is>
      </c>
      <c r="G44" s="9" t="inlineStr">
        <is>
          <t>Not automated yet (test and page-object method pending)</t>
        </is>
      </c>
      <c r="H44" s="12" t="inlineStr">
        <is>
          <t>Not run</t>
        </is>
      </c>
      <c r="I44" s="9" t="inlineStr"/>
    </row>
  </sheetData>
  <autoFilter ref="A1:I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40" customWidth="1" min="4" max="4"/>
    <col width="62" customWidth="1" min="5" max="5"/>
    <col width="10" customWidth="1" min="6" max="6"/>
    <col width="52" customWidth="1" min="7" max="7"/>
  </cols>
  <sheetData>
    <row r="1">
      <c r="A1" s="8" t="inlineStr">
        <is>
          <t>Check ID</t>
        </is>
      </c>
      <c r="B1" s="8" t="inlineStr">
        <is>
          <t>Check</t>
        </is>
      </c>
      <c r="C1" s="8" t="inlineStr">
        <is>
          <t>WCAG SC</t>
        </is>
      </c>
      <c r="D1" s="8" t="inlineStr">
        <is>
          <t>Method</t>
        </is>
      </c>
      <c r="E1" s="8" t="inlineStr">
        <is>
          <t>Automated test</t>
        </is>
      </c>
      <c r="F1" s="8" t="inlineStr">
        <is>
          <t>Result</t>
        </is>
      </c>
      <c r="G1" s="8" t="inlineStr">
        <is>
          <t>Bug ID (ADO) / notes</t>
        </is>
      </c>
    </row>
    <row r="2">
      <c r="A2" s="9" t="inlineStr">
        <is>
          <t>TC-A11Y-01</t>
        </is>
      </c>
      <c r="B2" s="9" t="inlineStr">
        <is>
          <t>Automated axe scan has no WCAG A/AA violations</t>
        </is>
      </c>
      <c r="C2" s="9" t="inlineStr">
        <is>
          <t>Various</t>
        </is>
      </c>
      <c r="D2" s="9" t="inlineStr">
        <is>
          <t>axe-core (WCAG 2.0/2.1 A and AA rules)</t>
        </is>
      </c>
      <c r="E2" s="9" t="inlineStr">
        <is>
          <t>test_a11y.py::test_a11y_* (7 pages) and canary</t>
        </is>
      </c>
      <c r="F2" s="10" t="inlineStr">
        <is>
          <t>Pass</t>
        </is>
      </c>
      <c r="G2" s="9" t="inlineStr">
        <is>
          <t>Best-practice rule page-has-heading-one reported separately: see bug 15</t>
        </is>
      </c>
    </row>
    <row r="3">
      <c r="A3" s="9" t="inlineStr">
        <is>
          <t>TC-A11Y-02</t>
        </is>
      </c>
      <c r="B3" s="9" t="inlineStr">
        <is>
          <t>All interactive controls reachable by keyboard</t>
        </is>
      </c>
      <c r="C3" s="9" t="inlineStr">
        <is>
          <t>2.1.1</t>
        </is>
      </c>
      <c r="D3" s="9" t="inlineStr">
        <is>
          <t>Tab through each page</t>
        </is>
      </c>
      <c r="E3" s="9" t="inlineStr">
        <is>
          <t>test_a11y_checks.py::test_tc_a11y_02_cart_icon_reachable_by_keyboard (xfail)</t>
        </is>
      </c>
      <c r="F3" s="11" t="inlineStr">
        <is>
          <t>Fail</t>
        </is>
      </c>
      <c r="G3" s="9" t="inlineStr">
        <is>
          <t>16</t>
        </is>
      </c>
    </row>
    <row r="4">
      <c r="A4" s="9" t="inlineStr">
        <is>
          <t>TC-A11Y-03</t>
        </is>
      </c>
      <c r="B4" s="9" t="inlineStr">
        <is>
          <t>Visible focus indicator on every control</t>
        </is>
      </c>
      <c r="C4" s="9" t="inlineStr">
        <is>
          <t>2.4.7</t>
        </is>
      </c>
      <c r="D4" s="9" t="inlineStr">
        <is>
          <t>Tab through each page</t>
        </is>
      </c>
      <c r="E4" s="9" t="inlineStr">
        <is>
          <t>test_a11y_checks.py::test_tc_a11y_03_focus_indicator_visible (xfail)</t>
        </is>
      </c>
      <c r="F4" s="11" t="inlineStr">
        <is>
          <t>Fail</t>
        </is>
      </c>
      <c r="G4" s="9" t="inlineStr">
        <is>
          <t>10</t>
        </is>
      </c>
    </row>
    <row r="5">
      <c r="A5" s="9" t="inlineStr">
        <is>
          <t>TC-A11Y-04</t>
        </is>
      </c>
      <c r="B5" s="9" t="inlineStr">
        <is>
          <t>Logical focus order</t>
        </is>
      </c>
      <c r="C5" s="9" t="inlineStr">
        <is>
          <t>2.4.3</t>
        </is>
      </c>
      <c r="D5" s="9" t="inlineStr">
        <is>
          <t>Manual keyboard testing, Tab-order check</t>
        </is>
      </c>
      <c r="E5" s="9" t="inlineStr">
        <is>
          <t>test_a11y_checks.py::test_tc_a11y_04_focus_stays_in_open_menu (xfail, 6 pages)</t>
        </is>
      </c>
      <c r="F5" s="11" t="inlineStr">
        <is>
          <t>Fail</t>
        </is>
      </c>
      <c r="G5" s="9" t="inlineStr">
        <is>
          <t>20</t>
        </is>
      </c>
    </row>
    <row r="6">
      <c r="A6" s="9" t="inlineStr">
        <is>
          <t>TC-A11Y-05</t>
        </is>
      </c>
      <c r="B6" s="9" t="inlineStr">
        <is>
          <t>Page title describes the page</t>
        </is>
      </c>
      <c r="C6" s="9" t="inlineStr">
        <is>
          <t>2.4.2</t>
        </is>
      </c>
      <c r="D6" s="9" t="inlineStr">
        <is>
          <t>document.title</t>
        </is>
      </c>
      <c r="E6" s="9" t="inlineStr">
        <is>
          <t>test_a11y_checks.py::test_tc_a11y_05_page_title_is_descriptive (xfail)</t>
        </is>
      </c>
      <c r="F6" s="11" t="inlineStr">
        <is>
          <t>Fail</t>
        </is>
      </c>
      <c r="G6" s="9" t="inlineStr">
        <is>
          <t>14</t>
        </is>
      </c>
    </row>
    <row r="7">
      <c r="A7" s="9" t="inlineStr">
        <is>
          <t>TC-A11Y-06</t>
        </is>
      </c>
      <c r="B7" s="9" t="inlineStr">
        <is>
          <t>Headings and page structure marked up</t>
        </is>
      </c>
      <c r="C7" s="9" t="inlineStr">
        <is>
          <t>1.3.1</t>
        </is>
      </c>
      <c r="D7" s="9" t="inlineStr">
        <is>
          <t>Heading query, VoiceOver rotor, axe best practice</t>
        </is>
      </c>
      <c r="E7" s="9" t="inlineStr">
        <is>
          <t>test_a11y_checks.py::test_tc_a11y_06_page_has_h1 (xfail)</t>
        </is>
      </c>
      <c r="F7" s="11" t="inlineStr">
        <is>
          <t>Fail</t>
        </is>
      </c>
      <c r="G7" s="9" t="inlineStr">
        <is>
          <t>15</t>
        </is>
      </c>
    </row>
    <row r="8">
      <c r="A8" s="9" t="inlineStr">
        <is>
          <t>TC-A11Y-07a</t>
        </is>
      </c>
      <c r="B8" s="9" t="inlineStr">
        <is>
          <t>Fields have persistent visible labels</t>
        </is>
      </c>
      <c r="C8" s="9" t="inlineStr">
        <is>
          <t>3.3.2</t>
        </is>
      </c>
      <c r="D8" s="9" t="inlineStr">
        <is>
          <t>Visual check, DOM check</t>
        </is>
      </c>
      <c r="E8" s="9" t="inlineStr">
        <is>
          <t>test_a11y_forms.py::test_tc_a11y_07_login_has_label and checkout_has_label (xfail)</t>
        </is>
      </c>
      <c r="F8" s="11" t="inlineStr">
        <is>
          <t>Fail</t>
        </is>
      </c>
      <c r="G8" s="9" t="inlineStr">
        <is>
          <t>12</t>
        </is>
      </c>
    </row>
    <row r="9">
      <c r="A9" s="9" t="inlineStr">
        <is>
          <t>TC-A11Y-07b</t>
        </is>
      </c>
      <c r="B9" s="9" t="inlineStr">
        <is>
          <t>Required fields indicated before submission</t>
        </is>
      </c>
      <c r="C9" s="9" t="inlineStr">
        <is>
          <t>3.3.2</t>
        </is>
      </c>
      <c r="D9" s="9" t="inlineStr">
        <is>
          <t>Visual check, DOM, VoiceOver</t>
        </is>
      </c>
      <c r="E9" s="9" t="inlineStr">
        <is>
          <t>test_a11y_forms.py::test_tc_a11y_07_*_required_indicated (xfail)</t>
        </is>
      </c>
      <c r="F9" s="11" t="inlineStr">
        <is>
          <t>Fail</t>
        </is>
      </c>
      <c r="G9" s="9" t="inlineStr">
        <is>
          <t>26</t>
        </is>
      </c>
    </row>
    <row r="10">
      <c r="A10" s="9" t="inlineStr">
        <is>
          <t>TC-A11Y-08</t>
        </is>
      </c>
      <c r="B10" s="9" t="inlineStr">
        <is>
          <t>Input purpose identified (autocomplete)</t>
        </is>
      </c>
      <c r="C10" s="9" t="inlineStr">
        <is>
          <t>1.3.5</t>
        </is>
      </c>
      <c r="D10" s="9" t="inlineStr">
        <is>
          <t>Attribute check</t>
        </is>
      </c>
      <c r="E10" s="9" t="inlineStr">
        <is>
          <t>test_a11y_forms.py::test_tc_a11y_08_* (xfail)</t>
        </is>
      </c>
      <c r="F10" s="11" t="inlineStr">
        <is>
          <t>Fail</t>
        </is>
      </c>
      <c r="G10" s="9" t="inlineStr">
        <is>
          <t>13</t>
        </is>
      </c>
    </row>
    <row r="11">
      <c r="A11" s="9" t="inlineStr">
        <is>
          <t>TC-A11Y-09</t>
        </is>
      </c>
      <c r="B11" s="9" t="inlineStr">
        <is>
          <t>Errors identified in text and announced</t>
        </is>
      </c>
      <c r="C11" s="9" t="inlineStr">
        <is>
          <t>3.3.1, 4.1.3</t>
        </is>
      </c>
      <c r="D11" s="9" t="inlineStr">
        <is>
          <t>VoiceOver</t>
        </is>
      </c>
      <c r="E11" s="9" t="inlineStr">
        <is>
          <t>Manual</t>
        </is>
      </c>
      <c r="F11" s="10" t="inlineStr">
        <is>
          <t>Pass</t>
        </is>
      </c>
      <c r="G11" s="9" t="inlineStr"/>
    </row>
    <row r="12">
      <c r="A12" s="9" t="inlineStr">
        <is>
          <t>TC-A11Y-10</t>
        </is>
      </c>
      <c r="B12" s="9" t="inlineStr">
        <is>
          <t>Name, role, state exposed (menu button)</t>
        </is>
      </c>
      <c r="C12" s="9" t="inlineStr">
        <is>
          <t>4.1.2</t>
        </is>
      </c>
      <c r="D12" s="9" t="inlineStr">
        <is>
          <t>Accessibility tree, VoiceOver</t>
        </is>
      </c>
      <c r="E12" s="9" t="inlineStr">
        <is>
          <t>test_a11y_checks.py::test_tc_a11y_10_menu_button_exposes_state (xfail)</t>
        </is>
      </c>
      <c r="F12" s="11" t="inlineStr">
        <is>
          <t>Fail</t>
        </is>
      </c>
      <c r="G12" s="9" t="inlineStr">
        <is>
          <t>18</t>
        </is>
      </c>
    </row>
    <row r="13">
      <c r="A13" s="9" t="inlineStr">
        <is>
          <t>TC-A11Y-11</t>
        </is>
      </c>
      <c r="B13" s="9" t="inlineStr">
        <is>
          <t>Status changes announced (add/remove)</t>
        </is>
      </c>
      <c r="C13" s="9" t="inlineStr">
        <is>
          <t>4.1.3</t>
        </is>
      </c>
      <c r="D13" s="9" t="inlineStr">
        <is>
          <t>VoiceOver; live region check</t>
        </is>
      </c>
      <c r="E13" s="9" t="inlineStr">
        <is>
          <t>test_a11y_checks.py::test_tc_a11y_11_cart_change_has_status_region (xfail)</t>
        </is>
      </c>
      <c r="F13" s="11" t="inlineStr">
        <is>
          <t>Fail</t>
        </is>
      </c>
      <c r="G13" s="9" t="inlineStr">
        <is>
          <t>19</t>
        </is>
      </c>
    </row>
    <row r="14">
      <c r="A14" s="9" t="inlineStr">
        <is>
          <t>TC-A11Y-12a</t>
        </is>
      </c>
      <c r="B14" s="9" t="inlineStr">
        <is>
          <t>Text contrast</t>
        </is>
      </c>
      <c r="C14" s="9" t="inlineStr">
        <is>
          <t>1.4.3</t>
        </is>
      </c>
      <c r="D14" s="9" t="inlineStr">
        <is>
          <t>Colour Contrast Analyser</t>
        </is>
      </c>
      <c r="E14" s="9" t="inlineStr">
        <is>
          <t>Manual</t>
        </is>
      </c>
      <c r="F14" s="10" t="inlineStr">
        <is>
          <t>Pass</t>
        </is>
      </c>
      <c r="G14" s="9" t="inlineStr">
        <is>
          <t>Checkout complete image is 1.7:1; text conveys the same information, noted as observation</t>
        </is>
      </c>
    </row>
    <row r="15">
      <c r="A15" s="9" t="inlineStr">
        <is>
          <t>TC-A11Y-12b</t>
        </is>
      </c>
      <c r="B15" s="9" t="inlineStr">
        <is>
          <t>Non-text contrast (field boundaries)</t>
        </is>
      </c>
      <c r="C15" s="9" t="inlineStr">
        <is>
          <t>1.4.11</t>
        </is>
      </c>
      <c r="D15" s="9" t="inlineStr">
        <is>
          <t>Colour Contrast Analyser</t>
        </is>
      </c>
      <c r="E15" s="9" t="inlineStr">
        <is>
          <t>Manual</t>
        </is>
      </c>
      <c r="F15" s="11" t="inlineStr">
        <is>
          <t>Fail</t>
        </is>
      </c>
      <c r="G15" s="9" t="inlineStr">
        <is>
          <t>11</t>
        </is>
      </c>
    </row>
    <row r="16">
      <c r="A16" s="9" t="inlineStr">
        <is>
          <t>TC-A11Y-13</t>
        </is>
      </c>
      <c r="B16" s="9" t="inlineStr">
        <is>
          <t>Zoom to 200% and 400% without loss of content</t>
        </is>
      </c>
      <c r="C16" s="9" t="inlineStr">
        <is>
          <t>1.4.4, 1.4.10</t>
        </is>
      </c>
      <c r="D16" s="9" t="inlineStr">
        <is>
          <t>Browser zoom</t>
        </is>
      </c>
      <c r="E16" s="9" t="inlineStr">
        <is>
          <t>Manual</t>
        </is>
      </c>
      <c r="F16" s="10" t="inlineStr">
        <is>
          <t>Pass</t>
        </is>
      </c>
      <c r="G16" s="9" t="inlineStr"/>
    </row>
    <row r="17">
      <c r="A17" s="9" t="inlineStr">
        <is>
          <t>TC-A11Y-14</t>
        </is>
      </c>
      <c r="B17" s="9" t="inlineStr">
        <is>
          <t>Images have appropriate alternative text</t>
        </is>
      </c>
      <c r="C17" s="9" t="inlineStr">
        <is>
          <t>1.1.1</t>
        </is>
      </c>
      <c r="D17" s="9" t="inlineStr">
        <is>
          <t>DOM check, VoiceOver</t>
        </is>
      </c>
      <c r="E17" s="9" t="inlineStr">
        <is>
          <t>Manual</t>
        </is>
      </c>
      <c r="F17" s="10" t="inlineStr">
        <is>
          <t>Pass</t>
        </is>
      </c>
      <c r="G17" s="9" t="inlineStr">
        <is>
          <t>Checked on Product details and Checkout complete</t>
        </is>
      </c>
    </row>
    <row r="18">
      <c r="A18" s="9" t="inlineStr">
        <is>
          <t>TC-A11Y-15</t>
        </is>
      </c>
      <c r="B18" s="9" t="inlineStr">
        <is>
          <t>Text spacing: no loss of content or function</t>
        </is>
      </c>
      <c r="C18" s="9" t="inlineStr">
        <is>
          <t>1.4.12</t>
        </is>
      </c>
      <c r="D18" s="9" t="inlineStr">
        <is>
          <t>Style override (line 1.5, letter 0.12em, word 0.16em)</t>
        </is>
      </c>
      <c r="E18" s="9" t="inlineStr">
        <is>
          <t>Manual</t>
        </is>
      </c>
      <c r="F18" s="10" t="inlineStr">
        <is>
          <t>Pass</t>
        </is>
      </c>
      <c r="G18" s="9" t="inlineStr">
        <is>
          <t>Products: long text overflows card edge (Fleece Jacket) but nothing lost</t>
        </is>
      </c>
    </row>
  </sheetData>
  <autoFilter ref="A1:G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8" t="inlineStr">
        <is>
          <t>Criterion</t>
        </is>
      </c>
      <c r="B1" s="8" t="inlineStr">
        <is>
          <t>Login</t>
        </is>
      </c>
      <c r="C1" s="8" t="inlineStr">
        <is>
          <t>Products</t>
        </is>
      </c>
      <c r="D1" s="8" t="inlineStr">
        <is>
          <t>Product details</t>
        </is>
      </c>
      <c r="E1" s="8" t="inlineStr">
        <is>
          <t>Cart</t>
        </is>
      </c>
      <c r="F1" s="8" t="inlineStr">
        <is>
          <t>Checkout information</t>
        </is>
      </c>
      <c r="G1" s="8" t="inlineStr">
        <is>
          <t>Checkout overview</t>
        </is>
      </c>
      <c r="H1" s="8" t="inlineStr">
        <is>
          <t>Checkout complete</t>
        </is>
      </c>
    </row>
    <row r="2">
      <c r="A2" s="9" t="inlineStr">
        <is>
          <t>2.4.2 Page titled</t>
        </is>
      </c>
      <c r="B2" s="13" t="inlineStr">
        <is>
          <t>Bug 14</t>
        </is>
      </c>
      <c r="C2" s="13" t="inlineStr">
        <is>
          <t>Bug 14</t>
        </is>
      </c>
      <c r="D2" s="13" t="inlineStr">
        <is>
          <t>Bug 14</t>
        </is>
      </c>
      <c r="E2" s="13" t="inlineStr">
        <is>
          <t>Bug 14</t>
        </is>
      </c>
      <c r="F2" s="13" t="inlineStr">
        <is>
          <t>Bug 14</t>
        </is>
      </c>
      <c r="G2" s="13" t="inlineStr">
        <is>
          <t>Bug 14</t>
        </is>
      </c>
      <c r="H2" s="13" t="inlineStr">
        <is>
          <t>Bug 14</t>
        </is>
      </c>
    </row>
    <row r="3">
      <c r="A3" s="9" t="inlineStr">
        <is>
          <t>1.3.1 Headings / h1</t>
        </is>
      </c>
      <c r="B3" s="13" t="inlineStr">
        <is>
          <t>Bug 15</t>
        </is>
      </c>
      <c r="C3" s="13" t="inlineStr">
        <is>
          <t>Bug 15</t>
        </is>
      </c>
      <c r="D3" s="13" t="inlineStr">
        <is>
          <t>Bug 15</t>
        </is>
      </c>
      <c r="E3" s="13" t="inlineStr">
        <is>
          <t>Bug 15</t>
        </is>
      </c>
      <c r="F3" s="13" t="inlineStr">
        <is>
          <t>Bug 15</t>
        </is>
      </c>
      <c r="G3" s="13" t="inlineStr">
        <is>
          <t>Bug 15</t>
        </is>
      </c>
      <c r="H3" s="13" t="inlineStr">
        <is>
          <t>Bug 15</t>
        </is>
      </c>
    </row>
    <row r="4">
      <c r="A4" s="9" t="inlineStr">
        <is>
          <t>2.4.7 Focus visible</t>
        </is>
      </c>
      <c r="B4" s="13" t="inlineStr">
        <is>
          <t>Bug 10</t>
        </is>
      </c>
      <c r="C4" s="13" t="inlineStr">
        <is>
          <t>Bug 10</t>
        </is>
      </c>
      <c r="D4" s="13" t="inlineStr">
        <is>
          <t>Bug 10</t>
        </is>
      </c>
      <c r="E4" s="13" t="inlineStr">
        <is>
          <t>Bug 10</t>
        </is>
      </c>
      <c r="F4" s="13" t="inlineStr">
        <is>
          <t>Bug 10</t>
        </is>
      </c>
      <c r="G4" s="13" t="inlineStr">
        <is>
          <t>Bug 10</t>
        </is>
      </c>
      <c r="H4" s="13" t="inlineStr">
        <is>
          <t>Bug 10</t>
        </is>
      </c>
    </row>
    <row r="5">
      <c r="A5" s="9" t="inlineStr">
        <is>
          <t>2.1.1 Cart icon by keyboard</t>
        </is>
      </c>
      <c r="B5" s="14" t="inlineStr">
        <is>
          <t>N/A</t>
        </is>
      </c>
      <c r="C5" s="13" t="inlineStr">
        <is>
          <t>Bug 16</t>
        </is>
      </c>
      <c r="D5" s="13" t="inlineStr">
        <is>
          <t>Bug 16</t>
        </is>
      </c>
      <c r="E5" s="13" t="inlineStr">
        <is>
          <t>Bug 16</t>
        </is>
      </c>
      <c r="F5" s="13" t="inlineStr">
        <is>
          <t>Bug 16</t>
        </is>
      </c>
      <c r="G5" s="13" t="inlineStr">
        <is>
          <t>Bug 16</t>
        </is>
      </c>
      <c r="H5" s="13" t="inlineStr">
        <is>
          <t>Bug 16</t>
        </is>
      </c>
    </row>
    <row r="6">
      <c r="A6" s="9" t="inlineStr">
        <is>
          <t>4.1.2 Menu button state</t>
        </is>
      </c>
      <c r="B6" s="14" t="inlineStr">
        <is>
          <t>N/A</t>
        </is>
      </c>
      <c r="C6" s="13" t="inlineStr">
        <is>
          <t>Bug 18</t>
        </is>
      </c>
      <c r="D6" s="13" t="inlineStr">
        <is>
          <t>Bug 18</t>
        </is>
      </c>
      <c r="E6" s="13" t="inlineStr">
        <is>
          <t>Bug 18</t>
        </is>
      </c>
      <c r="F6" s="13" t="inlineStr">
        <is>
          <t>Bug 18</t>
        </is>
      </c>
      <c r="G6" s="13" t="inlineStr">
        <is>
          <t>Bug 18</t>
        </is>
      </c>
      <c r="H6" s="13" t="inlineStr">
        <is>
          <t>Bug 18</t>
        </is>
      </c>
    </row>
    <row r="7">
      <c r="A7" s="9" t="inlineStr">
        <is>
          <t>4.1.3 Add/remove announced</t>
        </is>
      </c>
      <c r="B7" s="14" t="inlineStr">
        <is>
          <t>N/A</t>
        </is>
      </c>
      <c r="C7" s="13" t="inlineStr">
        <is>
          <t>Bug 19</t>
        </is>
      </c>
      <c r="D7" s="13" t="inlineStr">
        <is>
          <t>Bug 19</t>
        </is>
      </c>
      <c r="E7" s="13" t="inlineStr">
        <is>
          <t>Bug 19</t>
        </is>
      </c>
      <c r="F7" s="14" t="inlineStr">
        <is>
          <t>N/A</t>
        </is>
      </c>
      <c r="G7" s="14" t="inlineStr">
        <is>
          <t>N/A</t>
        </is>
      </c>
      <c r="H7" s="14" t="inlineStr">
        <is>
          <t>N/A</t>
        </is>
      </c>
    </row>
    <row r="8">
      <c r="A8" s="9" t="inlineStr">
        <is>
          <t>1.3.5 Input purpose (autocomplete)</t>
        </is>
      </c>
      <c r="B8" s="13" t="inlineStr">
        <is>
          <t>Bug 13</t>
        </is>
      </c>
      <c r="C8" s="14" t="inlineStr">
        <is>
          <t>N/A</t>
        </is>
      </c>
      <c r="D8" s="14" t="inlineStr">
        <is>
          <t>N/A</t>
        </is>
      </c>
      <c r="E8" s="14" t="inlineStr">
        <is>
          <t>N/A</t>
        </is>
      </c>
      <c r="F8" s="13" t="inlineStr">
        <is>
          <t>Bug 13</t>
        </is>
      </c>
      <c r="G8" s="14" t="inlineStr">
        <is>
          <t>N/A</t>
        </is>
      </c>
      <c r="H8" s="14" t="inlineStr">
        <is>
          <t>N/A</t>
        </is>
      </c>
    </row>
    <row r="9">
      <c r="A9" s="9" t="inlineStr">
        <is>
          <t>3.3.2 Visible labels</t>
        </is>
      </c>
      <c r="B9" s="13" t="inlineStr">
        <is>
          <t>Bug 12</t>
        </is>
      </c>
      <c r="C9" s="14" t="inlineStr">
        <is>
          <t>N/A</t>
        </is>
      </c>
      <c r="D9" s="14" t="inlineStr">
        <is>
          <t>N/A</t>
        </is>
      </c>
      <c r="E9" s="14" t="inlineStr">
        <is>
          <t>N/A</t>
        </is>
      </c>
      <c r="F9" s="13" t="inlineStr">
        <is>
          <t>Bug 12</t>
        </is>
      </c>
      <c r="G9" s="14" t="inlineStr">
        <is>
          <t>N/A</t>
        </is>
      </c>
      <c r="H9" s="14" t="inlineStr">
        <is>
          <t>N/A</t>
        </is>
      </c>
    </row>
    <row r="10">
      <c r="A10" s="9" t="inlineStr">
        <is>
          <t>3.3.2 Required indicated</t>
        </is>
      </c>
      <c r="B10" s="13" t="inlineStr">
        <is>
          <t>Bug 26</t>
        </is>
      </c>
      <c r="C10" s="14" t="inlineStr">
        <is>
          <t>N/A</t>
        </is>
      </c>
      <c r="D10" s="14" t="inlineStr">
        <is>
          <t>N/A</t>
        </is>
      </c>
      <c r="E10" s="14" t="inlineStr">
        <is>
          <t>N/A</t>
        </is>
      </c>
      <c r="F10" s="13" t="inlineStr">
        <is>
          <t>Bug 26</t>
        </is>
      </c>
      <c r="G10" s="14" t="inlineStr">
        <is>
          <t>N/A</t>
        </is>
      </c>
      <c r="H10" s="14" t="inlineStr">
        <is>
          <t>N/A</t>
        </is>
      </c>
    </row>
    <row r="11">
      <c r="A11" s="9" t="inlineStr">
        <is>
          <t>1.4.11 Non-text contrast</t>
        </is>
      </c>
      <c r="B11" s="13" t="inlineStr">
        <is>
          <t>Bug 11</t>
        </is>
      </c>
      <c r="C11" s="15" t="inlineStr">
        <is>
          <t>Pass</t>
        </is>
      </c>
      <c r="D11" s="15" t="inlineStr">
        <is>
          <t>Pass</t>
        </is>
      </c>
      <c r="E11" s="15" t="inlineStr">
        <is>
          <t>Pass</t>
        </is>
      </c>
      <c r="F11" s="15" t="inlineStr">
        <is>
          <t>Pass</t>
        </is>
      </c>
      <c r="G11" s="15" t="inlineStr">
        <is>
          <t>Pass</t>
        </is>
      </c>
      <c r="H11" s="15" t="inlineStr">
        <is>
          <t>Pass</t>
        </is>
      </c>
    </row>
    <row r="12">
      <c r="A12" s="9" t="inlineStr">
        <is>
          <t>2.4.3 Focus order</t>
        </is>
      </c>
      <c r="B12" s="14" t="inlineStr">
        <is>
          <t>N/A</t>
        </is>
      </c>
      <c r="C12" s="13" t="inlineStr">
        <is>
          <t>Bug 20</t>
        </is>
      </c>
      <c r="D12" s="13" t="inlineStr">
        <is>
          <t>Bug 20</t>
        </is>
      </c>
      <c r="E12" s="13" t="inlineStr">
        <is>
          <t>Bug 20</t>
        </is>
      </c>
      <c r="F12" s="13" t="inlineStr">
        <is>
          <t>Bug 20</t>
        </is>
      </c>
      <c r="G12" s="13" t="inlineStr">
        <is>
          <t>Bug 20</t>
        </is>
      </c>
      <c r="H12" s="13" t="inlineStr">
        <is>
          <t>Bug 20</t>
        </is>
      </c>
    </row>
    <row r="13">
      <c r="A13" s="9" t="inlineStr">
        <is>
          <t>1.4.3 Text contrast</t>
        </is>
      </c>
      <c r="B13" s="15" t="inlineStr">
        <is>
          <t>Pass</t>
        </is>
      </c>
      <c r="C13" s="15" t="inlineStr">
        <is>
          <t>Pass</t>
        </is>
      </c>
      <c r="D13" s="15" t="inlineStr">
        <is>
          <t>Pass</t>
        </is>
      </c>
      <c r="E13" s="15" t="inlineStr">
        <is>
          <t>Pass</t>
        </is>
      </c>
      <c r="F13" s="15" t="inlineStr">
        <is>
          <t>Pass</t>
        </is>
      </c>
      <c r="G13" s="15" t="inlineStr">
        <is>
          <t>Pass</t>
        </is>
      </c>
      <c r="H13" s="15" t="inlineStr">
        <is>
          <t>Pass</t>
        </is>
      </c>
    </row>
    <row r="14">
      <c r="A14" s="9" t="inlineStr">
        <is>
          <t>1.4.4 / 1.4.10 Zoom and reflow</t>
        </is>
      </c>
      <c r="B14" s="15" t="inlineStr">
        <is>
          <t>Pass</t>
        </is>
      </c>
      <c r="C14" s="15" t="inlineStr">
        <is>
          <t>Pass</t>
        </is>
      </c>
      <c r="D14" s="15" t="inlineStr">
        <is>
          <t>Pass</t>
        </is>
      </c>
      <c r="E14" s="15" t="inlineStr">
        <is>
          <t>Pass</t>
        </is>
      </c>
      <c r="F14" s="15" t="inlineStr">
        <is>
          <t>Pass</t>
        </is>
      </c>
      <c r="G14" s="15" t="inlineStr">
        <is>
          <t>Pass</t>
        </is>
      </c>
      <c r="H14" s="15" t="inlineStr">
        <is>
          <t>Pass</t>
        </is>
      </c>
    </row>
    <row r="15">
      <c r="A15" s="9" t="inlineStr">
        <is>
          <t>1.4.12 Text spacing</t>
        </is>
      </c>
      <c r="B15" s="15" t="inlineStr">
        <is>
          <t>Pass</t>
        </is>
      </c>
      <c r="C15" s="15" t="inlineStr">
        <is>
          <t>Pass</t>
        </is>
      </c>
      <c r="D15" s="15" t="inlineStr">
        <is>
          <t>Pass</t>
        </is>
      </c>
      <c r="E15" s="15" t="inlineStr">
        <is>
          <t>Pass</t>
        </is>
      </c>
      <c r="F15" s="15" t="inlineStr">
        <is>
          <t>Pass</t>
        </is>
      </c>
      <c r="G15" s="15" t="inlineStr">
        <is>
          <t>Pass</t>
        </is>
      </c>
      <c r="H15" s="15" t="inlineStr">
        <is>
          <t>Pass</t>
        </is>
      </c>
    </row>
    <row r="16">
      <c r="A16" s="9" t="inlineStr">
        <is>
          <t>axe-core WCAG A/AA scan</t>
        </is>
      </c>
      <c r="B16" s="15" t="inlineStr">
        <is>
          <t>Pass</t>
        </is>
      </c>
      <c r="C16" s="15" t="inlineStr">
        <is>
          <t>Pass</t>
        </is>
      </c>
      <c r="D16" s="15" t="inlineStr">
        <is>
          <t>Pass</t>
        </is>
      </c>
      <c r="E16" s="15" t="inlineStr">
        <is>
          <t>Pass</t>
        </is>
      </c>
      <c r="F16" s="15" t="inlineStr">
        <is>
          <t>Pass</t>
        </is>
      </c>
      <c r="G16" s="15" t="inlineStr">
        <is>
          <t>Pass</t>
        </is>
      </c>
      <c r="H16" s="15" t="inlineStr">
        <is>
          <t>Pass</t>
        </is>
      </c>
    </row>
  </sheetData>
  <autoFilter ref="A1:H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0" customWidth="1" min="2" max="2"/>
    <col width="16" customWidth="1" min="3" max="3"/>
    <col width="10" customWidth="1" min="4" max="4"/>
    <col width="10" customWidth="1" min="5" max="5"/>
    <col width="44" customWidth="1" min="6" max="6"/>
    <col width="24" customWidth="1" min="7" max="7"/>
  </cols>
  <sheetData>
    <row r="1">
      <c r="A1" s="8" t="inlineStr">
        <is>
          <t>ADO bug ID</t>
        </is>
      </c>
      <c r="B1" s="8" t="inlineStr">
        <is>
          <t>Summary</t>
        </is>
      </c>
      <c r="C1" s="8" t="inlineStr">
        <is>
          <t>WCAG SC / type</t>
        </is>
      </c>
      <c r="D1" s="8" t="inlineStr">
        <is>
          <t>Severity</t>
        </is>
      </c>
      <c r="E1" s="8" t="inlineStr">
        <is>
          <t>Priority</t>
        </is>
      </c>
      <c r="F1" s="8" t="inlineStr">
        <is>
          <t>Pages affected</t>
        </is>
      </c>
      <c r="G1" s="8" t="inlineStr">
        <is>
          <t>Linked test cases</t>
        </is>
      </c>
    </row>
    <row r="2">
      <c r="A2" s="9" t="n">
        <v>10</v>
      </c>
      <c r="B2" s="9" t="inlineStr">
        <is>
          <t>No visible focus indicator on any interactive control</t>
        </is>
      </c>
      <c r="C2" s="9" t="inlineStr">
        <is>
          <t>2.4.7</t>
        </is>
      </c>
      <c r="D2" s="9" t="inlineStr">
        <is>
          <t>2</t>
        </is>
      </c>
      <c r="E2" s="9" t="inlineStr">
        <is>
          <t>2</t>
        </is>
      </c>
      <c r="F2" s="9" t="inlineStr">
        <is>
          <t>All 7</t>
        </is>
      </c>
      <c r="G2" s="9" t="inlineStr">
        <is>
          <t>TC-A11Y-03</t>
        </is>
      </c>
    </row>
    <row r="3">
      <c r="A3" s="9" t="n">
        <v>12</v>
      </c>
      <c r="B3" s="9" t="inlineStr">
        <is>
          <t>Form fields have no persistent visible labels (placeholder only)</t>
        </is>
      </c>
      <c r="C3" s="9" t="inlineStr">
        <is>
          <t>3.3.2</t>
        </is>
      </c>
      <c r="D3" s="9" t="inlineStr">
        <is>
          <t>3</t>
        </is>
      </c>
      <c r="E3" s="9" t="inlineStr">
        <is>
          <t>3</t>
        </is>
      </c>
      <c r="F3" s="9" t="inlineStr">
        <is>
          <t>Login, Checkout information</t>
        </is>
      </c>
      <c r="G3" s="9" t="inlineStr">
        <is>
          <t>TC-A11Y-07a</t>
        </is>
      </c>
    </row>
    <row r="4">
      <c r="A4" s="9" t="n">
        <v>13</v>
      </c>
      <c r="B4" s="9" t="inlineStr">
        <is>
          <t>Form fields do not identify input purpose (no autocomplete)</t>
        </is>
      </c>
      <c r="C4" s="9" t="inlineStr">
        <is>
          <t>1.3.5</t>
        </is>
      </c>
      <c r="D4" s="9" t="inlineStr">
        <is>
          <t>4</t>
        </is>
      </c>
      <c r="E4" s="9" t="inlineStr">
        <is>
          <t>4</t>
        </is>
      </c>
      <c r="F4" s="9" t="inlineStr">
        <is>
          <t>Login, Checkout information</t>
        </is>
      </c>
      <c r="G4" s="9" t="inlineStr">
        <is>
          <t>TC-A11Y-08</t>
        </is>
      </c>
    </row>
    <row r="5">
      <c r="A5" s="9" t="n">
        <v>14</v>
      </c>
      <c r="B5" s="9" t="inlineStr">
        <is>
          <t>Page title is 'Swag Labs' on every page</t>
        </is>
      </c>
      <c r="C5" s="9" t="inlineStr">
        <is>
          <t>2.4.2</t>
        </is>
      </c>
      <c r="D5" s="9" t="inlineStr">
        <is>
          <t>3</t>
        </is>
      </c>
      <c r="E5" s="9" t="inlineStr">
        <is>
          <t>3</t>
        </is>
      </c>
      <c r="F5" s="9" t="inlineStr">
        <is>
          <t>All 7</t>
        </is>
      </c>
      <c r="G5" s="9" t="inlineStr">
        <is>
          <t>TC-A11Y-05</t>
        </is>
      </c>
    </row>
    <row r="6">
      <c r="A6" s="9" t="n">
        <v>15</v>
      </c>
      <c r="B6" s="9" t="inlineStr">
        <is>
          <t>Pages have no h1; page names are not marked up as headings</t>
        </is>
      </c>
      <c r="C6" s="9" t="inlineStr">
        <is>
          <t>1.3.1</t>
        </is>
      </c>
      <c r="D6" s="9" t="inlineStr">
        <is>
          <t>3</t>
        </is>
      </c>
      <c r="E6" s="9" t="inlineStr">
        <is>
          <t>3</t>
        </is>
      </c>
      <c r="F6" s="9" t="inlineStr">
        <is>
          <t>All 7</t>
        </is>
      </c>
      <c r="G6" s="9" t="inlineStr">
        <is>
          <t>TC-A11Y-06</t>
        </is>
      </c>
    </row>
    <row r="7">
      <c r="A7" s="9" t="n">
        <v>16</v>
      </c>
      <c r="B7" s="9" t="inlineStr">
        <is>
          <t>Cart icon cannot be reached with Tab</t>
        </is>
      </c>
      <c r="C7" s="9" t="inlineStr">
        <is>
          <t>2.1.1</t>
        </is>
      </c>
      <c r="D7" s="9" t="inlineStr">
        <is>
          <t>1</t>
        </is>
      </c>
      <c r="E7" s="9" t="inlineStr">
        <is>
          <t>1</t>
        </is>
      </c>
      <c r="F7" s="9" t="inlineStr">
        <is>
          <t>6 (all after login)</t>
        </is>
      </c>
      <c r="G7" s="9" t="inlineStr">
        <is>
          <t>TC-A11Y-02</t>
        </is>
      </c>
    </row>
    <row r="8">
      <c r="A8" s="9" t="n">
        <v>18</v>
      </c>
      <c r="B8" s="9" t="inlineStr">
        <is>
          <t>Menu button does not expose expanded/collapsed state</t>
        </is>
      </c>
      <c r="C8" s="9" t="inlineStr">
        <is>
          <t>4.1.2</t>
        </is>
      </c>
      <c r="D8" s="9" t="inlineStr">
        <is>
          <t>3</t>
        </is>
      </c>
      <c r="E8" s="9" t="inlineStr">
        <is>
          <t>2</t>
        </is>
      </c>
      <c r="F8" s="9" t="inlineStr">
        <is>
          <t>6 (all after login)</t>
        </is>
      </c>
      <c r="G8" s="9" t="inlineStr">
        <is>
          <t>TC-A11Y-10</t>
        </is>
      </c>
    </row>
    <row r="9">
      <c r="A9" s="9" t="n">
        <v>19</v>
      </c>
      <c r="B9" s="9" t="inlineStr">
        <is>
          <t>Adding or removing an item is not announced</t>
        </is>
      </c>
      <c r="C9" s="9" t="inlineStr">
        <is>
          <t>4.1.3</t>
        </is>
      </c>
      <c r="D9" s="9" t="inlineStr">
        <is>
          <t>3</t>
        </is>
      </c>
      <c r="E9" s="9" t="inlineStr">
        <is>
          <t>2</t>
        </is>
      </c>
      <c r="F9" s="9" t="inlineStr">
        <is>
          <t>Products, Product details, Cart</t>
        </is>
      </c>
      <c r="G9" s="9" t="inlineStr">
        <is>
          <t>TC-A11Y-11</t>
        </is>
      </c>
    </row>
    <row r="10">
      <c r="A10" s="9" t="n">
        <v>26</v>
      </c>
      <c r="B10" s="9" t="inlineStr">
        <is>
          <t>Required fields are not indicated before submission</t>
        </is>
      </c>
      <c r="C10" s="9" t="inlineStr">
        <is>
          <t>3.3.2</t>
        </is>
      </c>
      <c r="D10" s="9" t="inlineStr">
        <is>
          <t>3</t>
        </is>
      </c>
      <c r="E10" s="9" t="inlineStr">
        <is>
          <t>3</t>
        </is>
      </c>
      <c r="F10" s="9" t="inlineStr">
        <is>
          <t>Login, Checkout information</t>
        </is>
      </c>
      <c r="G10" s="9" t="inlineStr">
        <is>
          <t>TC-A11Y-07b</t>
        </is>
      </c>
    </row>
    <row r="11">
      <c r="A11" s="9" t="n">
        <v>35</v>
      </c>
      <c r="B11" s="9" t="inlineStr">
        <is>
          <t>[Func] Reset App State clears the cart count but the page is not updated; an order can still be placed</t>
        </is>
      </c>
      <c r="C11" s="9" t="inlineStr">
        <is>
          <t>Functional</t>
        </is>
      </c>
      <c r="D11" s="9" t="inlineStr">
        <is>
          <t>2</t>
        </is>
      </c>
      <c r="E11" s="9" t="inlineStr">
        <is>
          <t>2</t>
        </is>
      </c>
      <c r="F11" s="9" t="inlineStr">
        <is>
          <t>Products, Product details, Cart, Checkout overview</t>
        </is>
      </c>
      <c r="G11" s="9" t="inlineStr">
        <is>
          <t>TC-INV-08, TC-CART-05</t>
        </is>
      </c>
    </row>
    <row r="12">
      <c r="A12" s="9" t="n">
        <v>11</v>
      </c>
      <c r="B12" s="9" t="inlineStr">
        <is>
          <t>Login field boundaries have insufficient contrast</t>
        </is>
      </c>
      <c r="C12" s="9" t="inlineStr">
        <is>
          <t>1.4.11</t>
        </is>
      </c>
      <c r="D12" s="9" t="inlineStr">
        <is>
          <t>3</t>
        </is>
      </c>
      <c r="E12" s="9" t="inlineStr">
        <is>
          <t>3</t>
        </is>
      </c>
      <c r="F12" s="9" t="inlineStr">
        <is>
          <t>Login</t>
        </is>
      </c>
      <c r="G12" s="9" t="inlineStr">
        <is>
          <t>TC-A11Y-12b</t>
        </is>
      </c>
    </row>
    <row r="13">
      <c r="A13" s="9" t="n">
        <v>20</v>
      </c>
      <c r="B13" s="9" t="inlineStr">
        <is>
          <t>Keyboard focus leaves the open menu</t>
        </is>
      </c>
      <c r="C13" s="9" t="inlineStr">
        <is>
          <t>2.4.3</t>
        </is>
      </c>
      <c r="D13" s="9" t="inlineStr">
        <is>
          <t>3</t>
        </is>
      </c>
      <c r="E13" s="9" t="inlineStr">
        <is>
          <t>2</t>
        </is>
      </c>
      <c r="F13" s="9" t="inlineStr">
        <is>
          <t>6 (all after login)</t>
        </is>
      </c>
      <c r="G13" s="9" t="inlineStr">
        <is>
          <t>TC-A11Y-04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2026-10-26T21:52:17Z</dcterms:created>
  <dcterms:modified xmlns:dcterms="http://purl.org/dc/terms/" xmlns:xsi="http://www.w3.org/2001/XMLSchema-instance" xsi:type="dcterms:W3CDTF">2026-10-26T21:52:17Z</dcterms:modified>
</cp:coreProperties>
</file>